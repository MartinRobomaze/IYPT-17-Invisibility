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haredStrings.xml" ContentType="application/vnd.openxmlformats-officedocument.spreadsheetml.sharedStrings+xml"/>
  <Override PartName="/xl/tables/table4.xml" ContentType="application/vnd.openxmlformats-officedocument.spreadsheetml.table+xml"/>
  <Override PartName="/xl/styles.xml" ContentType="application/vnd.openxmlformats-officedocument.spreadsheetml.styles+xml"/>
  <Override PartName="/xl/workbook.xml" ContentType="application/vnd.openxmlformats-officedocument.spreadsheetml.template.main+xml"/>
</Types>
</file>

<file path=_rels/.rels><?xml version="1.0" encoding="UTF-8" standalone="yes"?><Relationships xmlns="http://schemas.openxmlformats.org/package/2006/relationships"><Relationship  Id="rId4" Type="http://schemas.openxmlformats.org/officeDocument/2006/relationships/officeDocument" Target="xl/workbook.xml"/><Relationship  Id="rId3" Type="http://schemas.openxmlformats.org/officeDocument/2006/relationships/custom-properties" Target="docProps/custom.xml"/><Relationship  Id="rId2" Type="http://schemas.openxmlformats.org/package/2006/relationships/metadata/core-properties" Target="docProps/core.xml"/><Relationship  Id="rId1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workbookPr/>
  <bookViews>
    <workbookView xWindow="360" yWindow="15" windowWidth="20955" windowHeight="9720" activeTab="0"/>
  </bookViews>
  <sheets>
    <sheet name="Sheet1" sheetId="1" state="visible" r:id="rId1"/>
  </sheets>
  <calcPr/>
</workbook>
</file>

<file path=xl/sharedStrings.xml><?xml version="1.0" encoding="utf-8"?>
<sst xmlns="http://schemas.openxmlformats.org/spreadsheetml/2006/main" count="14" uniqueCount="14">
  <si>
    <t xml:space="preserve">sosovka 1</t>
  </si>
  <si>
    <t>Meranie</t>
  </si>
  <si>
    <t xml:space="preserve">5 sosoviek(mm)</t>
  </si>
  <si>
    <t xml:space="preserve">hrubka najmensia (mm)</t>
  </si>
  <si>
    <t xml:space="preserve">hrubka najvacsia (mm)</t>
  </si>
  <si>
    <t>LPI</t>
  </si>
  <si>
    <t>LPcm</t>
  </si>
  <si>
    <t xml:space="preserve">hrubka sosovky (mm)</t>
  </si>
  <si>
    <t xml:space="preserve">priemer sosovky (mm)</t>
  </si>
  <si>
    <t>priemer</t>
  </si>
  <si>
    <t>chyba</t>
  </si>
  <si>
    <t xml:space="preserve">sosovka 2</t>
  </si>
  <si>
    <t xml:space="preserve">sosovka 3</t>
  </si>
  <si>
    <t xml:space="preserve">sosovka 4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</si>
</sst>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4">
    <numFmt numFmtId="160" formatCode="_(&quot;$&quot;* #,##0.00_);_(&quot;$&quot;* \(#,##0.00\);_(&quot;$&quot;* &quot;-&quot;??_);_(@_)"/>
    <numFmt numFmtId="161" formatCode="_ * #,##0_ ;_ * \-#,##0_ ;_ * &quot;-&quot;_ ;_ @_ "/>
    <numFmt numFmtId="162" formatCode="_(&quot;$&quot;* #,##0_);_(&quot;$&quot;* \(#,##0\);_(&quot;$&quot;* &quot;-&quot;_);_(@_)"/>
    <numFmt numFmtId="163" formatCode="_ * #,##0.00_ ;_ * \-#,##0.00_ ;_ * &quot;-&quot;??_ ;_ @_ "/>
  </numFmts>
  <fonts count="21">
    <font>
      <name val="Calibri"/>
      <color theme="1"/>
      <sz val="11.000000"/>
      <scheme val="minor"/>
    </font>
    <font>
      <name val="Calibri"/>
      <color theme="0"/>
      <sz val="11.000000"/>
      <scheme val="minor"/>
    </font>
    <font>
      <name val="Calibri"/>
      <color rgb="FFFA7D00"/>
      <sz val="11.000000"/>
      <scheme val="minor"/>
    </font>
    <font>
      <name val="Calibri"/>
      <color rgb="FF9C6500"/>
      <sz val="11.000000"/>
      <scheme val="minor"/>
    </font>
    <font>
      <name val="Calibri"/>
      <color rgb="FF9C0006"/>
      <sz val="11.000000"/>
      <scheme val="minor"/>
    </font>
    <font>
      <name val="Calibri"/>
      <b/>
      <color theme="1"/>
      <sz val="11.000000"/>
      <scheme val="minor"/>
    </font>
    <font>
      <name val="Calibri"/>
      <b/>
      <color rgb="FF3F3F3F"/>
      <sz val="11.000000"/>
      <scheme val="minor"/>
    </font>
    <font>
      <name val="Calibri"/>
      <color rgb="FF3F3F76"/>
      <sz val="11.000000"/>
      <scheme val="minor"/>
    </font>
    <font>
      <name val="Calibri"/>
      <b/>
      <color theme="3"/>
      <sz val="11.000000"/>
      <scheme val="minor"/>
    </font>
    <font>
      <name val="Calibri"/>
      <b/>
      <color rgb="FFFA7D00"/>
      <sz val="11.000000"/>
      <scheme val="minor"/>
    </font>
    <font>
      <name val="Calibri"/>
      <color rgb="FF006100"/>
      <sz val="11.000000"/>
      <scheme val="minor"/>
    </font>
    <font>
      <name val="Calibri"/>
      <i/>
      <color rgb="FF7F7F7F"/>
      <sz val="11.000000"/>
      <scheme val="minor"/>
    </font>
    <font>
      <name val="Calibri"/>
      <b/>
      <color theme="3"/>
      <sz val="15.000000"/>
      <scheme val="minor"/>
    </font>
    <font>
      <name val="Calibri"/>
      <b/>
      <color theme="3"/>
      <sz val="18.000000"/>
      <scheme val="minor"/>
    </font>
    <font>
      <name val="Calibri"/>
      <color indexed="2"/>
      <sz val="11.000000"/>
      <scheme val="minor"/>
    </font>
    <font>
      <name val="Calibri"/>
      <color indexed="20"/>
      <sz val="11.000000"/>
      <u/>
      <scheme val="minor"/>
    </font>
    <font>
      <name val="Calibri"/>
      <b/>
      <color theme="3"/>
      <sz val="13.000000"/>
      <scheme val="minor"/>
    </font>
    <font>
      <name val="Calibri"/>
      <b/>
      <color indexed="65"/>
      <sz val="11.000000"/>
      <scheme val="minor"/>
    </font>
    <font>
      <name val="Calibri"/>
      <color indexed="4"/>
      <sz val="11.000000"/>
      <u/>
      <scheme val="minor"/>
    </font>
    <font>
      <name val="Calibri"/>
      <b/>
      <color theme="1"/>
      <sz val="16.000000"/>
      <scheme val="minor"/>
    </font>
    <font>
      <name val="Calibri"/>
      <b/>
      <color theme="0"/>
      <sz val="11.00000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 tint="0.39997558519241899"/>
        <bgColor theme="9" tint="0.39997558519241899"/>
      </patternFill>
    </fill>
    <fill>
      <patternFill patternType="solid">
        <fgColor theme="9" tint="0.59999389629810496"/>
        <bgColor theme="9" tint="0.59999389629810496"/>
      </patternFill>
    </fill>
    <fill>
      <patternFill patternType="solid">
        <fgColor theme="8" tint="0.39997558519241899"/>
        <bgColor theme="8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8" tint="0.59999389629810496"/>
        <bgColor theme="8" tint="0.59999389629810496"/>
      </patternFill>
    </fill>
    <fill>
      <patternFill patternType="solid">
        <fgColor theme="8" tint="0.79998168889431398"/>
        <bgColor theme="8" tint="0.79998168889431398"/>
      </patternFill>
    </fill>
    <fill>
      <patternFill patternType="solid">
        <fgColor theme="7" tint="0.39997558519241899"/>
        <bgColor theme="7" tint="0.39997558519241899"/>
      </patternFill>
    </fill>
    <fill>
      <patternFill patternType="solid">
        <fgColor theme="8"/>
        <bgColor theme="8"/>
      </patternFill>
    </fill>
    <fill>
      <patternFill patternType="solid">
        <fgColor theme="7" tint="0.59999389629810496"/>
        <bgColor theme="7" tint="0.59999389629810496"/>
      </patternFill>
    </fill>
    <fill>
      <patternFill patternType="solid">
        <fgColor theme="7"/>
        <bgColor theme="7"/>
      </patternFill>
    </fill>
    <fill>
      <patternFill patternType="solid">
        <fgColor theme="6" tint="0.59999389629810496"/>
        <bgColor theme="6" tint="0.59999389629810496"/>
      </patternFill>
    </fill>
    <fill>
      <patternFill patternType="solid">
        <fgColor theme="5" tint="0.39997558519241899"/>
        <bgColor theme="5" tint="0.39997558519241899"/>
      </patternFill>
    </fill>
    <fill>
      <patternFill patternType="solid">
        <fgColor theme="6"/>
        <bgColor theme="6"/>
      </patternFill>
    </fill>
    <fill>
      <patternFill patternType="solid">
        <fgColor theme="5" tint="0.59999389629810496"/>
        <bgColor theme="5" tint="0.59999389629810496"/>
      </patternFill>
    </fill>
    <fill>
      <patternFill patternType="solid">
        <fgColor theme="5" tint="0.79998168889431398"/>
        <bgColor theme="5" tint="0.79998168889431398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96"/>
        <bgColor theme="4" tint="0.59999389629810496"/>
      </patternFill>
    </fill>
    <fill>
      <patternFill patternType="solid">
        <fgColor theme="4" tint="0.79998168889431398"/>
        <bgColor theme="4" tint="0.79998168889431398"/>
      </patternFill>
    </fill>
    <fill>
      <patternFill patternType="solid">
        <fgColor theme="4"/>
        <bgColor theme="4"/>
      </patternFill>
    </fill>
    <fill>
      <patternFill patternType="solid">
        <fgColor rgb="FFFFEB9C"/>
        <bgColor rgb="FFFFEB9C"/>
      </patternFill>
    </fill>
    <fill>
      <patternFill patternType="solid">
        <fgColor theme="4" tint="0.39997558519241899"/>
        <bgColor theme="4" tint="0.39997558519241899"/>
      </patternFill>
    </fill>
    <fill>
      <patternFill patternType="solid">
        <fgColor rgb="FFFFC7CE"/>
        <bgColor rgb="FFFFC7CE"/>
      </patternFill>
    </fill>
    <fill>
      <patternFill patternType="solid">
        <fgColor theme="7" tint="0.79998168889431398"/>
        <bgColor theme="7" tint="0.79998168889431398"/>
      </patternFill>
    </fill>
    <fill>
      <patternFill patternType="solid">
        <fgColor rgb="FFF2F2F2"/>
        <bgColor rgb="FFF2F2F2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rgb="FFC6EFCE"/>
        <bgColor rgb="FFC6EFCE"/>
      </patternFill>
    </fill>
    <fill>
      <patternFill patternType="solid">
        <fgColor theme="9" tint="0.79998168889431398"/>
        <bgColor theme="9" tint="0.79998168889431398"/>
      </patternFill>
    </fill>
    <fill>
      <patternFill patternType="solid">
        <fgColor rgb="FFA5A5A5"/>
        <bgColor rgb="FFA5A5A5"/>
      </patternFill>
    </fill>
    <fill>
      <patternFill patternType="solid">
        <fgColor theme="6" tint="0.39997558519241899"/>
        <bgColor theme="6" tint="0.39997558519241899"/>
      </patternFill>
    </fill>
    <fill>
      <patternFill patternType="solid">
        <fgColor theme="9"/>
        <bgColor theme="9"/>
      </patternFill>
    </fill>
    <fill>
      <patternFill patternType="solid">
        <fgColor theme="0" tint="-0.14999847407452599"/>
        <bgColor theme="0" tint="-0.14999847407452599"/>
      </patternFill>
    </fill>
  </fills>
  <borders count="11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49">
    <xf fontId="0" fillId="0" borderId="0" numFmtId="0" applyNumberFormat="1" applyFont="1" applyFill="1" applyBorder="1"/>
    <xf fontId="1" fillId="2" borderId="0" numFmtId="0" applyNumberFormat="0" applyFont="1" applyFill="1" applyBorder="0" applyProtection="0">
      <alignment vertical="center"/>
    </xf>
    <xf fontId="0" fillId="3" borderId="0" numFmtId="0" applyNumberFormat="0" applyFont="1" applyFill="1" applyBorder="0" applyProtection="0">
      <alignment vertical="center"/>
    </xf>
    <xf fontId="1" fillId="4" borderId="0" numFmtId="0" applyNumberFormat="0" applyFont="1" applyFill="1" applyBorder="0" applyProtection="0">
      <alignment vertical="center"/>
    </xf>
    <xf fontId="1" fillId="5" borderId="0" numFmtId="0" applyNumberFormat="0" applyFont="1" applyFill="1" applyBorder="0" applyProtection="0">
      <alignment vertical="center"/>
    </xf>
    <xf fontId="0" fillId="6" borderId="0" numFmtId="0" applyNumberFormat="0" applyFont="1" applyFill="1" applyBorder="0" applyProtection="0">
      <alignment vertical="center"/>
    </xf>
    <xf fontId="0" fillId="7" borderId="0" numFmtId="0" applyNumberFormat="0" applyFont="1" applyFill="1" applyBorder="0" applyProtection="0">
      <alignment vertical="center"/>
    </xf>
    <xf fontId="1" fillId="8" borderId="0" numFmtId="0" applyNumberFormat="0" applyFont="1" applyFill="1" applyBorder="0" applyProtection="0">
      <alignment vertical="center"/>
    </xf>
    <xf fontId="1" fillId="9" borderId="0" numFmtId="0" applyNumberFormat="0" applyFont="1" applyFill="1" applyBorder="0" applyProtection="0">
      <alignment vertical="center"/>
    </xf>
    <xf fontId="0" fillId="10" borderId="0" numFmtId="0" applyNumberFormat="0" applyFont="1" applyFill="1" applyBorder="0" applyProtection="0">
      <alignment vertical="center"/>
    </xf>
    <xf fontId="1" fillId="11" borderId="0" numFmtId="0" applyNumberFormat="0" applyFont="1" applyFill="1" applyBorder="0" applyProtection="0">
      <alignment vertical="center"/>
    </xf>
    <xf fontId="2" fillId="0" borderId="1" numFmtId="0" applyNumberFormat="0" applyFont="1" applyFill="0" applyBorder="1" applyProtection="0">
      <alignment vertical="center"/>
    </xf>
    <xf fontId="0" fillId="12" borderId="0" numFmtId="0" applyNumberFormat="0" applyFont="1" applyFill="1" applyBorder="0" applyProtection="0">
      <alignment vertical="center"/>
    </xf>
    <xf fontId="1" fillId="13" borderId="0" numFmtId="0" applyNumberFormat="0" applyFont="1" applyFill="1" applyBorder="0" applyProtection="0">
      <alignment vertical="center"/>
    </xf>
    <xf fontId="1" fillId="14" borderId="0" numFmtId="0" applyNumberFormat="0" applyFont="1" applyFill="1" applyBorder="0" applyProtection="0">
      <alignment vertical="center"/>
    </xf>
    <xf fontId="0" fillId="15" borderId="0" numFmtId="0" applyNumberFormat="0" applyFont="1" applyFill="1" applyBorder="0" applyProtection="0">
      <alignment vertical="center"/>
    </xf>
    <xf fontId="0" fillId="16" borderId="0" numFmtId="0" applyNumberFormat="0" applyFont="1" applyFill="1" applyBorder="0" applyProtection="0">
      <alignment vertical="center"/>
    </xf>
    <xf fontId="1" fillId="17" borderId="0" numFmtId="0" applyNumberFormat="0" applyFont="1" applyFill="1" applyBorder="0" applyProtection="0">
      <alignment vertical="center"/>
    </xf>
    <xf fontId="0" fillId="18" borderId="0" numFmtId="0" applyNumberFormat="0" applyFont="1" applyFill="1" applyBorder="0" applyProtection="0">
      <alignment vertical="center"/>
    </xf>
    <xf fontId="0" fillId="19" borderId="0" numFmtId="0" applyNumberFormat="0" applyFont="1" applyFill="1" applyBorder="0" applyProtection="0">
      <alignment vertical="center"/>
    </xf>
    <xf fontId="1" fillId="20" borderId="0" numFmtId="0" applyNumberFormat="0" applyFont="1" applyFill="1" applyBorder="0" applyProtection="0">
      <alignment vertical="center"/>
    </xf>
    <xf fontId="3" fillId="21" borderId="0" numFmtId="0" applyNumberFormat="0" applyFont="1" applyFill="1" applyBorder="0" applyProtection="0">
      <alignment vertical="center"/>
    </xf>
    <xf fontId="1" fillId="22" borderId="0" numFmtId="0" applyNumberFormat="0" applyFont="1" applyFill="1" applyBorder="0" applyProtection="0">
      <alignment vertical="center"/>
    </xf>
    <xf fontId="4" fillId="23" borderId="0" numFmtId="0" applyNumberFormat="0" applyFont="1" applyFill="1" applyBorder="0" applyProtection="0">
      <alignment vertical="center"/>
    </xf>
    <xf fontId="0" fillId="24" borderId="0" numFmtId="0" applyNumberFormat="0" applyFont="1" applyFill="1" applyBorder="0" applyProtection="0">
      <alignment vertical="center"/>
    </xf>
    <xf fontId="5" fillId="0" borderId="2" numFmtId="0" applyNumberFormat="0" applyFont="1" applyFill="0" applyBorder="1" applyProtection="0">
      <alignment vertical="center"/>
    </xf>
    <xf fontId="6" fillId="25" borderId="3" numFmtId="0" applyNumberFormat="0" applyFont="1" applyFill="1" applyBorder="1" applyProtection="0">
      <alignment vertical="center"/>
    </xf>
    <xf fontId="0" fillId="0" borderId="0" numFmtId="160" applyNumberFormat="1" applyFont="0" applyFill="0" applyBorder="0" applyProtection="0">
      <alignment vertical="center"/>
    </xf>
    <xf fontId="0" fillId="26" borderId="0" numFmtId="0" applyNumberFormat="0" applyFont="1" applyFill="1" applyBorder="0" applyProtection="0">
      <alignment vertical="center"/>
    </xf>
    <xf fontId="0" fillId="27" borderId="4" numFmtId="0" applyNumberFormat="0" applyFont="0" applyFill="1" applyBorder="1" applyProtection="0">
      <alignment vertical="center"/>
    </xf>
    <xf fontId="7" fillId="28" borderId="5" numFmtId="0" applyNumberFormat="0" applyFont="1" applyFill="1" applyBorder="1" applyProtection="0">
      <alignment vertical="center"/>
    </xf>
    <xf fontId="8" fillId="0" borderId="0" numFmtId="0" applyNumberFormat="0" applyFont="1" applyFill="0" applyBorder="0" applyProtection="0">
      <alignment vertical="center"/>
    </xf>
    <xf fontId="9" fillId="25" borderId="5" numFmtId="0" applyNumberFormat="0" applyFont="1" applyFill="1" applyBorder="1" applyProtection="0">
      <alignment vertical="center"/>
    </xf>
    <xf fontId="10" fillId="29" borderId="0" numFmtId="0" applyNumberFormat="0" applyFont="1" applyFill="1" applyBorder="0" applyProtection="0">
      <alignment vertical="center"/>
    </xf>
    <xf fontId="8" fillId="0" borderId="6" numFmtId="0" applyNumberFormat="0" applyFont="1" applyFill="0" applyBorder="1" applyProtection="0">
      <alignment vertical="center"/>
    </xf>
    <xf fontId="11" fillId="0" borderId="0" numFmtId="0" applyNumberFormat="0" applyFont="1" applyFill="0" applyBorder="0" applyProtection="0">
      <alignment vertical="center"/>
    </xf>
    <xf fontId="12" fillId="0" borderId="7" numFmtId="0" applyNumberFormat="0" applyFont="1" applyFill="0" applyBorder="1" applyProtection="0">
      <alignment vertical="center"/>
    </xf>
    <xf fontId="0" fillId="0" borderId="0" numFmtId="161" applyNumberFormat="1" applyFont="0" applyFill="0" applyBorder="0" applyProtection="0">
      <alignment vertical="center"/>
    </xf>
    <xf fontId="0" fillId="30" borderId="0" numFmtId="0" applyNumberFormat="0" applyFont="1" applyFill="1" applyBorder="0" applyProtection="0">
      <alignment vertical="center"/>
    </xf>
    <xf fontId="13" fillId="0" borderId="0" numFmtId="0" applyNumberFormat="0" applyFont="1" applyFill="0" applyBorder="0" applyProtection="0">
      <alignment vertical="center"/>
    </xf>
    <xf fontId="0" fillId="0" borderId="0" numFmtId="162" applyNumberFormat="1" applyFont="0" applyFill="0" applyBorder="0" applyProtection="0">
      <alignment vertical="center"/>
    </xf>
    <xf fontId="14" fillId="0" borderId="0" numFmtId="0" applyNumberFormat="0" applyFont="1" applyFill="0" applyBorder="0" applyProtection="0">
      <alignment vertical="center"/>
    </xf>
    <xf fontId="15" fillId="0" borderId="0" numFmtId="0" applyNumberFormat="0" applyFont="1" applyFill="0" applyBorder="0" applyProtection="0">
      <alignment vertical="center"/>
    </xf>
    <xf fontId="16" fillId="0" borderId="7" numFmtId="0" applyNumberFormat="0" applyFont="1" applyFill="0" applyBorder="1" applyProtection="0">
      <alignment vertical="center"/>
    </xf>
    <xf fontId="0" fillId="0" borderId="0" numFmtId="163" applyNumberFormat="1" applyFont="0" applyFill="0" applyBorder="0" applyProtection="0">
      <alignment vertical="center"/>
    </xf>
    <xf fontId="17" fillId="31" borderId="8" numFmtId="0" applyNumberFormat="0" applyFont="1" applyFill="1" applyBorder="1" applyProtection="0">
      <alignment vertical="center"/>
    </xf>
    <xf fontId="1" fillId="32" borderId="0" numFmtId="0" applyNumberFormat="0" applyFont="1" applyFill="1" applyBorder="0" applyProtection="0">
      <alignment vertical="center"/>
    </xf>
    <xf fontId="0" fillId="0" borderId="0" numFmtId="9" applyNumberFormat="1" applyFont="0" applyFill="0" applyBorder="0" applyProtection="0">
      <alignment vertical="center"/>
    </xf>
    <xf fontId="18" fillId="0" borderId="0" numFmtId="0" applyNumberFormat="0" applyFont="1" applyFill="0" applyBorder="0" applyProtection="0">
      <alignment vertical="center"/>
    </xf>
  </cellStyleXfs>
  <cellXfs count="9">
    <xf fontId="0" fillId="0" borderId="0" numFmtId="0" xfId="0"/>
    <xf fontId="19" fillId="0" borderId="0" numFmtId="0" xfId="0" applyFont="1" applyAlignment="1">
      <alignment horizontal="center"/>
    </xf>
    <xf fontId="5" fillId="0" borderId="0" numFmtId="0" xfId="0" applyFont="1"/>
    <xf fontId="20" fillId="33" borderId="9" numFmtId="0" xfId="0" applyFont="1" applyFill="1" applyBorder="1"/>
    <xf fontId="0" fillId="34" borderId="10" numFmtId="0" xfId="0" applyFill="1" applyBorder="1"/>
    <xf fontId="0" fillId="0" borderId="0" numFmtId="0" xfId="0"/>
    <xf fontId="0" fillId="34" borderId="0" numFmtId="0" xfId="0" applyFill="1"/>
    <xf fontId="5" fillId="34" borderId="0" numFmtId="0" xfId="0" applyFont="1" applyFill="1"/>
    <xf fontId="0" fillId="0" borderId="9" numFmtId="0" xfId="0" applyBorder="1"/>
  </cellXfs>
  <cellStyles count="49">
    <cellStyle name="Normal" xfId="0" builtinId="0"/>
    <cellStyle name="60% - Accent6" xfId="1" builtinId="52"/>
    <cellStyle name="40% - Accent6" xfId="2" builtinId="51"/>
    <cellStyle name="60% - Accent5" xfId="3" builtinId="48"/>
    <cellStyle name="Accent6" xfId="4" builtinId="49"/>
    <cellStyle name="40% - Accent5" xfId="5" builtinId="47"/>
    <cellStyle name="20% - Accent5" xfId="6" builtinId="46"/>
    <cellStyle name="60% - Accent4" xfId="7" builtinId="44"/>
    <cellStyle name="Accent5" xfId="8" builtinId="45"/>
    <cellStyle name="40% - Accent4" xfId="9" builtinId="43"/>
    <cellStyle name="Accent4" xfId="10" builtinId="41"/>
    <cellStyle name="Linked Cell" xfId="11" builtinId="24"/>
    <cellStyle name="40% - Accent3" xfId="12" builtinId="39"/>
    <cellStyle name="60% - Accent2" xfId="13" builtinId="36"/>
    <cellStyle name="Accent3" xfId="14" builtinId="37"/>
    <cellStyle name="40% - Accent2" xfId="15" builtinId="35"/>
    <cellStyle name="20% - Accent2" xfId="16" builtinId="34"/>
    <cellStyle name="Accent2" xfId="17" builtinId="33"/>
    <cellStyle name="40% - Accent1" xfId="18" builtinId="31"/>
    <cellStyle name="20% - Accent1" xfId="19" builtinId="30"/>
    <cellStyle name="Accent1" xfId="20" builtinId="29"/>
    <cellStyle name="Neutral" xfId="21" builtinId="28"/>
    <cellStyle name="60% - Accent1" xfId="22" builtinId="32"/>
    <cellStyle name="Bad" xfId="23" builtinId="27"/>
    <cellStyle name="20% - Accent4" xfId="24" builtinId="42"/>
    <cellStyle name="Total" xfId="25" builtinId="25"/>
    <cellStyle name="Output" xfId="26" builtinId="21"/>
    <cellStyle name="Currency" xfId="27" builtinId="4"/>
    <cellStyle name="20% - Accent3" xfId="28" builtinId="38"/>
    <cellStyle name="Note" xfId="29" builtinId="10"/>
    <cellStyle name="Input" xfId="30" builtinId="20"/>
    <cellStyle name="Heading 4" xfId="31" builtinId="19"/>
    <cellStyle name="Calculation" xfId="32" builtinId="22"/>
    <cellStyle name="Good" xfId="33" builtinId="26"/>
    <cellStyle name="Heading 3" xfId="34" builtinId="18"/>
    <cellStyle name="CExplanatory Text" xfId="35" builtinId="53"/>
    <cellStyle name="Heading 1" xfId="36" builtinId="16"/>
    <cellStyle name="Comma [0]" xfId="37" builtinId="6"/>
    <cellStyle name="20% - Accent6" xfId="38" builtinId="50"/>
    <cellStyle name="Title" xfId="39" builtinId="15"/>
    <cellStyle name="Currency [0]" xfId="40" builtinId="7"/>
    <cellStyle name="Warning Text" xfId="41" builtinId="11"/>
    <cellStyle name="Followed Hyperlink" xfId="42" builtinId="9"/>
    <cellStyle name="Heading 2" xfId="43" builtinId="17"/>
    <cellStyle name="Comma" xfId="44" builtinId="3"/>
    <cellStyle name="Check Cell" xfId="45" builtinId="23"/>
    <cellStyle name="60% - Accent3" xfId="46" builtinId="40"/>
    <cellStyle name="Percent" xfId="47" builtinId="5"/>
    <cellStyle name="Hyperlink" xfId="48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4" Type="http://schemas.openxmlformats.org/officeDocument/2006/relationships/styles" Target="styles.xml"/><Relationship  Id="rId3" Type="http://schemas.openxmlformats.org/officeDocument/2006/relationships/sharedStrings" Target="sharedStrings.xml"/><Relationship  Id="rId2" Type="http://schemas.openxmlformats.org/officeDocument/2006/relationships/theme" Target="theme/theme1.xml"/><Relationship 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Table2" ref="A2:H8">
  <autoFilter ref="A2:H8"/>
  <tableColumns count="8">
    <tableColumn id="1" name="Meranie"/>
    <tableColumn id="2" name="5 sosoviek(mm)"/>
    <tableColumn id="3" name="hrubka najmensia (mm)"/>
    <tableColumn id="4" name="hrubka najvacsia (mm)"/>
    <tableColumn id="5" name="LPI"/>
    <tableColumn id="6" name="LPcm"/>
    <tableColumn id="7" name="hrubka sosovky (mm)"/>
    <tableColumn id="8" name="priemer sosovky (mm)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Table3" ref="A11:H17">
  <autoFilter ref="A11:H17"/>
  <tableColumns count="8">
    <tableColumn id="1" name="Meranie"/>
    <tableColumn id="2" name="5 sosoviek(mm)"/>
    <tableColumn id="3" name="hrubka najmensia (mm)"/>
    <tableColumn id="4" name="hrubka najvacsia (mm)"/>
    <tableColumn id="5" name="LPI"/>
    <tableColumn id="6" name="LPcm"/>
    <tableColumn id="7" name="hrubka sosovky (mm)"/>
    <tableColumn id="8" name="priemer sosovky (mm)"/>
  </tableColumns>
  <tableStyleInfo name="TableStyleMedium2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Table6" ref="A20:H26">
  <autoFilter ref="A20:H26"/>
  <tableColumns count="8">
    <tableColumn id="1" name="Meranie"/>
    <tableColumn id="2" name="5 sosoviek(mm)"/>
    <tableColumn id="3" name="hrubka najmensia (mm)"/>
    <tableColumn id="4" name="hrubka najvacsia (mm)"/>
    <tableColumn id="5" name="LPI"/>
    <tableColumn id="6" name="LPcm"/>
    <tableColumn id="7" name="hrubka sosovky (mm)"/>
    <tableColumn id="8" name="priemer sosovky (mm)"/>
  </tableColumns>
  <tableStyleInfo name="TableStyleMedium2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Table7" ref="A29:H35">
  <autoFilter ref="A29:H35"/>
  <tableColumns count="8">
    <tableColumn id="1" name="Meranie"/>
    <tableColumn id="2" name="5 sosoviek(mm)"/>
    <tableColumn id="3" name="hrubka najmensia (mm)"/>
    <tableColumn id="4" name="hrubka najvacsia (mm)"/>
    <tableColumn id="5" name="LPI"/>
    <tableColumn id="6" name="LPcm"/>
    <tableColumn id="7" name="hrubka sosovky (mm)"/>
    <tableColumn id="8" name="priemer sosovky (mm)"/>
  </tableColumns>
  <tableStyleInfo name="TableStyleMedium21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4" Type="http://schemas.openxmlformats.org/officeDocument/2006/relationships/table" Target="../tables/table4.xml"/><Relationship  Id="rId3" Type="http://schemas.openxmlformats.org/officeDocument/2006/relationships/table" Target="../tables/table3.xml"/><Relationship  Id="rId2" Type="http://schemas.openxmlformats.org/officeDocument/2006/relationships/table" Target="../tables/table2.xml"/><Relationship 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H1"/>
    </sheetView>
  </sheetViews>
  <sheetFormatPr defaultColWidth="9" defaultRowHeight="14.25" outlineLevelCol="7"/>
  <cols>
    <col min="1" max="1" width="11"/>
    <col customWidth="1" min="2" max="2" width="17"/>
    <col customWidth="1" min="3" max="3" width="24"/>
    <col customWidth="1" min="4" max="4" width="23"/>
    <col min="6" max="6" width="9.2833333333333297"/>
    <col customWidth="1" min="7" max="7" width="22"/>
    <col customWidth="1" min="8" max="8" width="22.7083333333333"/>
  </cols>
  <sheetData>
    <row r="1" ht="21">
      <c r="A1" s="1" t="s">
        <v>0</v>
      </c>
      <c r="B1" s="1"/>
      <c r="C1" s="1"/>
      <c r="D1" s="1"/>
      <c r="E1" s="1"/>
      <c r="F1" s="1"/>
      <c r="G1" s="1"/>
      <c r="H1" s="1"/>
    </row>
    <row r="2">
      <c r="A2" t="s">
        <v>1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</v>
      </c>
      <c r="H2" t="s">
        <v>8</v>
      </c>
    </row>
    <row r="3">
      <c r="A3">
        <v>1</v>
      </c>
      <c r="B3">
        <v>2.5009999999999999</v>
      </c>
      <c r="C3">
        <v>0.38300000000000001</v>
      </c>
      <c r="D3">
        <v>0.52500000000000002</v>
      </c>
      <c r="E3">
        <f t="shared" ref="E3:E5" si="0">ROUND(25.4/B3*5,3)</f>
        <v>50.780000000000001</v>
      </c>
      <c r="F3">
        <f t="shared" ref="F3:F5" si="1">ROUND(10/B3*5,3)</f>
        <v>19.992000000000001</v>
      </c>
      <c r="G3">
        <f t="shared" ref="G3:G5" si="2">D3-C3</f>
        <v>0.14199999999999999</v>
      </c>
      <c r="H3">
        <f t="shared" ref="H3:H5" si="3">ROUND(B3/5,3)</f>
        <v>0.5</v>
      </c>
    </row>
    <row r="4">
      <c r="A4">
        <v>2</v>
      </c>
      <c r="B4">
        <v>2.536</v>
      </c>
      <c r="C4">
        <v>0.39500000000000002</v>
      </c>
      <c r="D4">
        <v>0.54800000000000004</v>
      </c>
      <c r="E4">
        <f t="shared" si="0"/>
        <v>50.079000000000001</v>
      </c>
      <c r="F4">
        <f t="shared" si="1"/>
        <v>19.716000000000001</v>
      </c>
      <c r="G4">
        <f t="shared" si="2"/>
        <v>0.153</v>
      </c>
      <c r="H4">
        <f t="shared" si="3"/>
        <v>0.50700000000000001</v>
      </c>
    </row>
    <row r="5">
      <c r="A5">
        <v>3</v>
      </c>
      <c r="B5">
        <v>2.5249999999999999</v>
      </c>
      <c r="C5">
        <v>0.39200000000000002</v>
      </c>
      <c r="D5">
        <v>0.53500000000000003</v>
      </c>
      <c r="E5">
        <f t="shared" si="0"/>
        <v>50.296999999999997</v>
      </c>
      <c r="F5">
        <f t="shared" si="1"/>
        <v>19.802</v>
      </c>
      <c r="G5">
        <f t="shared" si="2"/>
        <v>0.14299999999999999</v>
      </c>
      <c r="H5">
        <f t="shared" si="3"/>
        <v>0.505</v>
      </c>
    </row>
    <row r="7">
      <c r="A7" s="2" t="s">
        <v>9</v>
      </c>
      <c r="B7" s="2">
        <f t="shared" ref="B7:H7" si="4">ROUND(AVERAGE(B3:B5),3)</f>
        <v>2.5209999999999999</v>
      </c>
      <c r="C7" s="2">
        <f t="shared" si="4"/>
        <v>0.39000000000000001</v>
      </c>
      <c r="D7" s="2">
        <f t="shared" si="4"/>
        <v>0.53600000000000003</v>
      </c>
      <c r="E7" s="2">
        <f>ROUND(AVERAGE(E3:E5),3)</f>
        <v>50.384999999999998</v>
      </c>
      <c r="F7" s="2">
        <f t="shared" si="4"/>
        <v>19.837</v>
      </c>
      <c r="G7" s="2">
        <f t="shared" si="4"/>
        <v>0.14599999999999999</v>
      </c>
      <c r="H7" s="2">
        <f t="shared" si="4"/>
        <v>0.504</v>
      </c>
    </row>
    <row r="8">
      <c r="A8" s="2" t="s">
        <v>10</v>
      </c>
      <c r="B8" s="2">
        <f t="shared" ref="B8:H8" si="5">MAX(B7-B3,B7-B4,B7-B5)</f>
        <v>0.02</v>
      </c>
      <c r="C8" s="2">
        <f t="shared" si="5"/>
        <v>0.0070000000000000097</v>
      </c>
      <c r="D8" s="2">
        <f t="shared" si="5"/>
        <v>0.010999999999999999</v>
      </c>
      <c r="E8" s="2">
        <f t="shared" si="5"/>
        <v>0.30599999999999739</v>
      </c>
      <c r="F8" s="2">
        <f t="shared" si="5"/>
        <v>0.120999999999999</v>
      </c>
      <c r="G8" s="2">
        <f t="shared" si="5"/>
        <v>0.0039999999999999801</v>
      </c>
      <c r="H8" s="2">
        <f t="shared" si="5"/>
        <v>0.0040000000000000001</v>
      </c>
    </row>
    <row r="10" ht="21">
      <c r="A10" s="1" t="s">
        <v>11</v>
      </c>
      <c r="B10" s="1"/>
      <c r="C10" s="1"/>
      <c r="D10" s="1"/>
      <c r="E10" s="1"/>
      <c r="F10" s="1"/>
      <c r="G10" s="1"/>
      <c r="H10" s="1"/>
    </row>
    <row r="11" ht="15">
      <c r="A11" t="s">
        <v>1</v>
      </c>
      <c r="B11" s="3" t="s">
        <v>2</v>
      </c>
      <c r="C11" s="3" t="s">
        <v>3</v>
      </c>
      <c r="D11" s="3" t="s">
        <v>4</v>
      </c>
      <c r="E11" s="3" t="s">
        <v>5</v>
      </c>
      <c r="F11" s="3" t="s">
        <v>6</v>
      </c>
      <c r="G11" s="3" t="s">
        <v>7</v>
      </c>
      <c r="H11" s="3" t="s">
        <v>8</v>
      </c>
    </row>
    <row r="12">
      <c r="A12" s="4">
        <v>1</v>
      </c>
      <c r="B12" s="4">
        <v>3.1760000000000002</v>
      </c>
      <c r="C12" s="4">
        <v>0.58199999999999996</v>
      </c>
      <c r="D12" s="4">
        <v>0.752</v>
      </c>
      <c r="E12" s="4">
        <f t="shared" ref="E12:E14" si="6">ROUND(25.4/B12*5,3)</f>
        <v>39.987000000000002</v>
      </c>
      <c r="F12" s="4">
        <f t="shared" ref="F12:F14" si="7">ROUND(10/B12*5,3)</f>
        <v>15.743</v>
      </c>
      <c r="G12" s="4">
        <f t="shared" ref="G12:G14" si="8">D12-C12</f>
        <v>0.17000000000000001</v>
      </c>
      <c r="H12" s="4">
        <f t="shared" ref="H12:H14" si="9">ROUND(B12/5,3)</f>
        <v>0.63500000000000001</v>
      </c>
    </row>
    <row r="13">
      <c r="A13" s="5">
        <v>2</v>
      </c>
      <c r="B13" s="5">
        <v>3.161</v>
      </c>
      <c r="C13" s="5">
        <v>0.58499999999999996</v>
      </c>
      <c r="D13" s="5">
        <v>0.75900000000000001</v>
      </c>
      <c r="E13" s="5">
        <f t="shared" si="6"/>
        <v>40.177</v>
      </c>
      <c r="F13">
        <f t="shared" si="7"/>
        <v>15.818</v>
      </c>
      <c r="G13">
        <f t="shared" si="8"/>
        <v>0.17399999999999999</v>
      </c>
      <c r="H13" s="5">
        <f t="shared" si="9"/>
        <v>0.63200000000000001</v>
      </c>
    </row>
    <row r="14">
      <c r="A14" s="6">
        <v>3</v>
      </c>
      <c r="B14" s="6">
        <v>3.1629999999999998</v>
      </c>
      <c r="C14" s="6">
        <v>0.58699999999999997</v>
      </c>
      <c r="D14" s="6">
        <v>0.75600000000000001</v>
      </c>
      <c r="E14" s="6">
        <f t="shared" si="6"/>
        <v>40.152000000000001</v>
      </c>
      <c r="F14" s="6">
        <f t="shared" si="7"/>
        <v>15.808</v>
      </c>
      <c r="G14" s="6">
        <f t="shared" si="8"/>
        <v>0.16900000000000001</v>
      </c>
      <c r="H14" s="6">
        <f t="shared" si="9"/>
        <v>0.63300000000000001</v>
      </c>
    </row>
    <row r="15">
      <c r="B15" s="5"/>
      <c r="C15" s="5"/>
      <c r="D15" s="5"/>
      <c r="E15" s="5"/>
      <c r="F15" s="5"/>
      <c r="G15" s="5"/>
      <c r="H15" s="5"/>
    </row>
    <row r="16">
      <c r="A16" s="7" t="s">
        <v>9</v>
      </c>
      <c r="B16" s="7">
        <f t="shared" ref="B16:H16" si="10">ROUND(AVERAGE(B12:B14),3)</f>
        <v>3.1669999999999998</v>
      </c>
      <c r="C16" s="7">
        <f t="shared" si="10"/>
        <v>0.58499999999999996</v>
      </c>
      <c r="D16" s="7">
        <f t="shared" si="10"/>
        <v>0.75600000000000001</v>
      </c>
      <c r="E16" s="7">
        <f t="shared" si="10"/>
        <v>40.104999999999997</v>
      </c>
      <c r="F16" s="7">
        <f t="shared" si="10"/>
        <v>15.789999999999999</v>
      </c>
      <c r="G16" s="7">
        <f t="shared" si="10"/>
        <v>0.17100000000000001</v>
      </c>
      <c r="H16" s="7">
        <f t="shared" si="10"/>
        <v>0.63300000000000001</v>
      </c>
    </row>
    <row r="17">
      <c r="A17" s="2" t="s">
        <v>10</v>
      </c>
      <c r="B17" s="2">
        <f t="shared" ref="B17:H17" si="11">MAX(B16-B12,B16-B13,B16-B14)</f>
        <v>0.0059999999999997798</v>
      </c>
      <c r="C17" s="2">
        <f t="shared" si="11"/>
        <v>0.0030000000000000001</v>
      </c>
      <c r="D17" s="2">
        <f t="shared" si="11"/>
        <v>0.0040000000000000001</v>
      </c>
      <c r="E17" s="2">
        <f t="shared" si="11"/>
        <v>0.117999999999995</v>
      </c>
      <c r="F17" s="2">
        <f t="shared" si="11"/>
        <v>0.0469999999999988</v>
      </c>
      <c r="G17" s="2">
        <f t="shared" si="11"/>
        <v>0.0019999999999999701</v>
      </c>
      <c r="H17" s="2">
        <f t="shared" si="11"/>
        <v>0.001</v>
      </c>
    </row>
    <row r="19" ht="21">
      <c r="A19" s="1" t="s">
        <v>12</v>
      </c>
      <c r="B19" s="1"/>
      <c r="C19" s="1"/>
      <c r="D19" s="1"/>
      <c r="E19" s="1"/>
      <c r="F19" s="1"/>
      <c r="G19" s="1"/>
      <c r="H19" s="1"/>
    </row>
    <row r="20" ht="15">
      <c r="A20" s="8" t="s">
        <v>1</v>
      </c>
      <c r="B20" s="3" t="s">
        <v>2</v>
      </c>
      <c r="C20" s="3" t="s">
        <v>3</v>
      </c>
      <c r="D20" s="3" t="s">
        <v>4</v>
      </c>
      <c r="E20" s="3" t="s">
        <v>5</v>
      </c>
      <c r="F20" s="3" t="s">
        <v>6</v>
      </c>
      <c r="G20" s="3" t="s">
        <v>7</v>
      </c>
      <c r="H20" s="3" t="s">
        <v>8</v>
      </c>
    </row>
    <row r="21">
      <c r="A21" s="4">
        <v>1</v>
      </c>
      <c r="B21" s="4">
        <v>3.0379999999999998</v>
      </c>
      <c r="C21" s="4">
        <v>1.931</v>
      </c>
      <c r="D21" s="4">
        <v>1.9419999999999999</v>
      </c>
      <c r="E21" s="4">
        <f t="shared" ref="E21:E23" si="12">ROUND(25.4/B21*5,3)</f>
        <v>41.804000000000002</v>
      </c>
      <c r="F21" s="4">
        <f t="shared" ref="F21:F23" si="13">ROUND(10/B21*5,3)</f>
        <v>16.457999999999998</v>
      </c>
      <c r="G21" s="4">
        <f t="shared" ref="G21:G23" si="14">D21-C21</f>
        <v>0.0109999999999999</v>
      </c>
      <c r="H21" s="4">
        <f t="shared" ref="H21:H23" si="15">ROUND(B21/5,3)</f>
        <v>0.60799999999999998</v>
      </c>
    </row>
    <row r="22">
      <c r="A22" s="5">
        <v>2</v>
      </c>
      <c r="B22" s="5">
        <v>2.9889999999999999</v>
      </c>
      <c r="C22" s="5">
        <v>1.9119999999999999</v>
      </c>
      <c r="D22" s="5">
        <v>1.9570000000000001</v>
      </c>
      <c r="E22" s="5">
        <f t="shared" si="12"/>
        <v>42.488999999999997</v>
      </c>
      <c r="F22">
        <f t="shared" si="13"/>
        <v>16.728000000000002</v>
      </c>
      <c r="G22">
        <f t="shared" si="14"/>
        <v>0.0450000000000002</v>
      </c>
      <c r="H22" s="5">
        <f t="shared" si="15"/>
        <v>0.59799999999999998</v>
      </c>
    </row>
    <row r="23">
      <c r="A23" s="6">
        <v>3</v>
      </c>
      <c r="B23" s="6">
        <v>3.012</v>
      </c>
      <c r="C23" s="6">
        <v>1.9219999999999999</v>
      </c>
      <c r="D23" s="6">
        <v>1.9770000000000001</v>
      </c>
      <c r="E23" s="6">
        <f t="shared" si="12"/>
        <v>42.164999999999999</v>
      </c>
      <c r="F23" s="6">
        <f t="shared" si="13"/>
        <v>16.600000000000001</v>
      </c>
      <c r="G23" s="6">
        <f t="shared" si="14"/>
        <v>0.055000000000000202</v>
      </c>
      <c r="H23" s="6">
        <f t="shared" si="15"/>
        <v>0.60199999999999998</v>
      </c>
    </row>
    <row r="24">
      <c r="B24" s="5"/>
      <c r="C24" s="5"/>
      <c r="D24" s="5"/>
      <c r="E24" s="5"/>
      <c r="F24" s="5"/>
      <c r="G24" s="5"/>
      <c r="H24" s="5"/>
    </row>
    <row r="25">
      <c r="A25" s="7" t="s">
        <v>9</v>
      </c>
      <c r="B25" s="7">
        <f t="shared" ref="B25:H25" si="16">ROUND(AVERAGE(B21:B23),3)</f>
        <v>3.0129999999999999</v>
      </c>
      <c r="C25" s="7">
        <f t="shared" si="16"/>
        <v>1.9219999999999999</v>
      </c>
      <c r="D25" s="7">
        <f t="shared" si="16"/>
        <v>1.9590000000000001</v>
      </c>
      <c r="E25" s="7">
        <f t="shared" si="16"/>
        <v>42.152999999999999</v>
      </c>
      <c r="F25" s="7">
        <f t="shared" si="16"/>
        <v>16.594999999999999</v>
      </c>
      <c r="G25" s="7">
        <f t="shared" si="16"/>
        <v>0.036999999999999998</v>
      </c>
      <c r="H25" s="7">
        <f t="shared" si="16"/>
        <v>0.60299999999999998</v>
      </c>
    </row>
    <row r="26">
      <c r="A26" s="2" t="s">
        <v>10</v>
      </c>
      <c r="B26" s="2">
        <f t="shared" ref="B26:H26" si="17">MAX(B25-B21,B25-B22,B25-B23)</f>
        <v>0.024</v>
      </c>
      <c r="C26" s="2">
        <f t="shared" si="17"/>
        <v>0.01</v>
      </c>
      <c r="D26" s="2">
        <f t="shared" si="17"/>
        <v>0.017000000000000098</v>
      </c>
      <c r="E26" s="2">
        <f t="shared" si="17"/>
        <v>0.34899999999999698</v>
      </c>
      <c r="F26" s="2">
        <f t="shared" si="17"/>
        <v>0.13700000000000001</v>
      </c>
      <c r="G26" s="2">
        <f t="shared" si="17"/>
        <v>0.026000000000000099</v>
      </c>
      <c r="H26" s="2">
        <f t="shared" si="17"/>
        <v>0.0050000000000000001</v>
      </c>
    </row>
    <row r="28" ht="21">
      <c r="A28" s="1" t="s">
        <v>13</v>
      </c>
      <c r="B28" s="1"/>
      <c r="C28" s="1"/>
      <c r="D28" s="1"/>
      <c r="E28" s="1"/>
      <c r="F28" s="1"/>
      <c r="G28" s="1"/>
      <c r="H28" s="1"/>
    </row>
    <row r="29" ht="15">
      <c r="A29" s="8" t="s">
        <v>1</v>
      </c>
      <c r="B29" s="3" t="s">
        <v>2</v>
      </c>
      <c r="C29" s="3" t="s">
        <v>3</v>
      </c>
      <c r="D29" s="3" t="s">
        <v>4</v>
      </c>
      <c r="E29" s="3" t="s">
        <v>5</v>
      </c>
      <c r="F29" s="3" t="s">
        <v>6</v>
      </c>
      <c r="G29" s="3" t="s">
        <v>7</v>
      </c>
      <c r="H29" s="3" t="s">
        <v>8</v>
      </c>
    </row>
    <row r="30">
      <c r="A30" s="4">
        <v>1</v>
      </c>
      <c r="B30" s="4">
        <v>4.8330000000000002</v>
      </c>
      <c r="C30" s="4">
        <v>3.984</v>
      </c>
      <c r="D30" s="4">
        <v>4.0720000000000001</v>
      </c>
      <c r="E30" s="4">
        <f t="shared" ref="E30:E32" si="18">ROUND(25.4/B30*5,3)</f>
        <v>26.277999999999999</v>
      </c>
      <c r="F30" s="4">
        <f t="shared" ref="F30:F32" si="19">ROUND(10/B30*5,3)</f>
        <v>10.346</v>
      </c>
      <c r="G30" s="4">
        <f t="shared" ref="G30:G32" si="20">D30-C30</f>
        <v>0.088000000000000106</v>
      </c>
      <c r="H30" s="4">
        <f t="shared" ref="H30:H32" si="21">ROUND(B30/5,3)</f>
        <v>0.96699999999999997</v>
      </c>
    </row>
    <row r="31">
      <c r="A31" s="5">
        <v>2</v>
      </c>
      <c r="B31" s="5">
        <v>4.8339999999999996</v>
      </c>
      <c r="C31" s="5">
        <v>4.0030000000000001</v>
      </c>
      <c r="D31" s="5">
        <v>4.0750000000000002</v>
      </c>
      <c r="E31" s="5">
        <f t="shared" si="18"/>
        <v>26.271999999999998</v>
      </c>
      <c r="F31">
        <f t="shared" si="19"/>
        <v>10.343</v>
      </c>
      <c r="G31">
        <f t="shared" si="20"/>
        <v>0.072000000000000106</v>
      </c>
      <c r="H31" s="5">
        <f t="shared" si="21"/>
        <v>0.96699999999999997</v>
      </c>
    </row>
    <row r="32">
      <c r="A32" s="6">
        <v>3</v>
      </c>
      <c r="B32" s="6">
        <v>4.8300000000000001</v>
      </c>
      <c r="C32" s="6">
        <v>4.008</v>
      </c>
      <c r="D32" s="6">
        <v>4.069</v>
      </c>
      <c r="E32" s="6">
        <f t="shared" si="18"/>
        <v>26.294</v>
      </c>
      <c r="F32" s="6">
        <f t="shared" si="19"/>
        <v>10.352</v>
      </c>
      <c r="G32" s="6">
        <f t="shared" si="20"/>
        <v>0.060999999999999902</v>
      </c>
      <c r="H32" s="6">
        <f t="shared" si="21"/>
        <v>0.96599999999999997</v>
      </c>
    </row>
    <row r="33">
      <c r="B33" s="5"/>
      <c r="C33" s="5"/>
      <c r="D33" s="5"/>
      <c r="E33" s="5"/>
      <c r="F33" s="5"/>
      <c r="G33" s="5"/>
      <c r="H33" s="5"/>
    </row>
    <row r="34">
      <c r="A34" s="7" t="s">
        <v>9</v>
      </c>
      <c r="B34" s="7">
        <f t="shared" ref="B34:H34" si="22">ROUND(AVERAGE(B30:B32),3)</f>
        <v>4.8319999999999999</v>
      </c>
      <c r="C34" s="7">
        <f t="shared" si="22"/>
        <v>3.9980000000000002</v>
      </c>
      <c r="D34" s="7">
        <f t="shared" si="22"/>
        <v>4.0720000000000001</v>
      </c>
      <c r="E34" s="7">
        <f t="shared" si="22"/>
        <v>26.280999999999999</v>
      </c>
      <c r="F34" s="7">
        <f t="shared" si="22"/>
        <v>10.347</v>
      </c>
      <c r="G34" s="7">
        <f t="shared" si="22"/>
        <v>0.073999999999999996</v>
      </c>
      <c r="H34" s="7">
        <f t="shared" si="22"/>
        <v>0.96699999999999997</v>
      </c>
    </row>
    <row r="35">
      <c r="A35" s="2" t="s">
        <v>10</v>
      </c>
      <c r="B35" s="2">
        <f t="shared" ref="B35:H35" si="23">MAX(B34-B30,B34-B31,B34-B32)</f>
        <v>0.0019999999999997802</v>
      </c>
      <c r="C35" s="2">
        <f t="shared" si="23"/>
        <v>0.0140000000000002</v>
      </c>
      <c r="D35" s="2">
        <f t="shared" si="23"/>
        <v>0.0030000000000001098</v>
      </c>
      <c r="E35" s="2">
        <f t="shared" si="23"/>
        <v>0.0090000000000003393</v>
      </c>
      <c r="F35" s="2">
        <f t="shared" si="23"/>
        <v>0.0039999999999995603</v>
      </c>
      <c r="G35" s="2">
        <f t="shared" si="23"/>
        <v>0.0130000000000001</v>
      </c>
      <c r="H35" s="2">
        <f t="shared" si="23"/>
        <v>0.001</v>
      </c>
    </row>
  </sheetData>
  <sortState ref="G20:G21">
    <sortCondition ref="G20:G21"/>
  </sortState>
  <mergeCells count="4">
    <mergeCell ref="A1:H1"/>
    <mergeCell ref="A10:H10"/>
    <mergeCell ref="A19:H19"/>
    <mergeCell ref="A28:H28"/>
  </mergeCells>
  <printOptions headings="0" gridLines="0"/>
  <pageMargins left="0.70078740157480313" right="0.70078740157480313" top="0.75196850393700809" bottom="0.75196850393700809" header="0.29999999999999999" footer="0.29999999999999999"/>
  <pageSetup paperSize="9" scale="100" firstPageNumber="2147483648" fitToWidth="1" fitToHeight="1" pageOrder="downThenOver" orientation="portrait" usePrinterDefaults="1" blackAndWhite="0" draft="0" cellComments="none" useFirstPageNumber="1" errors="displayed" horizontalDpi="600" verticalDpi="600" copies="1"/>
  <headerFooter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ONLYOFFICE/7.1.0.215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revision>2</cp:revision>
  <dcterms:created xsi:type="dcterms:W3CDTF">2022-05-18T17:43:20Z</dcterms:created>
  <dcterms:modified xsi:type="dcterms:W3CDTF">2022-05-18T16:15:04Z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1033-11.1.0.10976</vt:lpwstr>
  </property>
</Properties>
</file>